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Gap List" sheetId="2" state="visible" r:id="rId4"/>
    <sheet name="3-Day Plan" sheetId="3" state="visible" r:id="rId5"/>
    <sheet name="If Time Slip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<sst xmlns="http://schemas.openxmlformats.org/spreadsheetml/2006/main" count="198" uniqueCount="130">
  <si>
    <t xml:space="preserve">Progress summary</t>
  </si>
  <si>
    <t xml:space="preserve">Measure</t>
  </si>
  <si>
    <t xml:space="preserve">Value</t>
  </si>
  <si>
    <t xml:space="preserve">Total plan tasks</t>
  </si>
  <si>
    <t xml:space="preserve">Done</t>
  </si>
  <si>
    <t xml:space="preserve">In progress</t>
  </si>
  <si>
    <t xml:space="preserve">Cut</t>
  </si>
  <si>
    <t xml:space="preserve">Not started</t>
  </si>
  <si>
    <t xml:space="preserve">% complete (excluding cut)</t>
  </si>
  <si>
    <t xml:space="preserve">Requirements verified in Bagisto (Yes)</t>
  </si>
  <si>
    <t xml:space="preserve">Total requirements</t>
  </si>
  <si>
    <t xml:space="preserve">Fit level breakdown</t>
  </si>
  <si>
    <t xml:space="preserve">Fit level</t>
  </si>
  <si>
    <t xml:space="preserve">Count</t>
  </si>
  <si>
    <t xml:space="preserve">Built-in</t>
  </si>
  <si>
    <t xml:space="preserve">Config</t>
  </si>
  <si>
    <t xml:space="preserve">Small code change</t>
  </si>
  <si>
    <t xml:space="preserve">Custom code</t>
  </si>
  <si>
    <t xml:space="preserve">Note: 'Config / small code' items are counted under Config.</t>
  </si>
  <si>
    <t xml:space="preserve">Bagisto gap list - Classy Fashion Hub e-commerce system</t>
  </si>
  <si>
    <t xml:space="preserve">Fit levels come from general knowledge of Bagisto, not a code audit. Update column F after checking in the admin panel / demo on Day 1. Yellow cells are for you to fill.</t>
  </si>
  <si>
    <t xml:space="preserve">#</t>
  </si>
  <si>
    <t xml:space="preserve">Requirement</t>
  </si>
  <si>
    <t xml:space="preserve">Report section</t>
  </si>
  <si>
    <t xml:space="preserve">Notes / what to do</t>
  </si>
  <si>
    <t xml:space="preserve">Verified in Bagisto?</t>
  </si>
  <si>
    <t xml:space="preserve">Planned day</t>
  </si>
  <si>
    <t xml:space="preserve">Customer registration, login, password recovery</t>
  </si>
  <si>
    <t xml:space="preserve">9.1</t>
  </si>
  <si>
    <t xml:space="preserve">Use default customer auth; confirm password reset email works</t>
  </si>
  <si>
    <t xml:space="preserve">Day 1</t>
  </si>
  <si>
    <t xml:space="preserve">Product catalogue: size, colour, price, images, search, filters</t>
  </si>
  <si>
    <t xml:space="preserve">9.2</t>
  </si>
  <si>
    <t xml:space="preserve">Use configurable products for size/colour variants</t>
  </si>
  <si>
    <t xml:space="preserve">Deactivate (not delete) discontinued products</t>
  </si>
  <si>
    <t xml:space="preserve">Use the product status toggle</t>
  </si>
  <si>
    <t xml:space="preserve">Cart, checkout, order history</t>
  </si>
  <si>
    <t xml:space="preserve">9.5</t>
  </si>
  <si>
    <t xml:space="preserve">Run a full test order on Day 1</t>
  </si>
  <si>
    <t xml:space="preserve">Admin dashboard and sales reports</t>
  </si>
  <si>
    <t xml:space="preserve">9.9</t>
  </si>
  <si>
    <t xml:space="preserve">Light customisation; check export options</t>
  </si>
  <si>
    <t xml:space="preserve">Day 3</t>
  </si>
  <si>
    <t xml:space="preserve">Admin vs Worker roles with limited permissions</t>
  </si>
  <si>
    <t xml:space="preserve">Create a 'Worker' role in the admin ACL; restrict sensitive pages</t>
  </si>
  <si>
    <t xml:space="preserve">Stock quantities per product</t>
  </si>
  <si>
    <t xml:space="preserve">9.3</t>
  </si>
  <si>
    <t xml:space="preserve">Set inventory per variant</t>
  </si>
  <si>
    <t xml:space="preserve">Low-stock threshold and alert</t>
  </si>
  <si>
    <t xml:space="preserve">9.3 / 9.8</t>
  </si>
  <si>
    <t xml:space="preserve">Add threshold field plus admin notice or email</t>
  </si>
  <si>
    <t xml:space="preserve">Day 2</t>
  </si>
  <si>
    <t xml:space="preserve">Custom order statuses (Pending, Confirmed, Paid, Processing, Dispatched, Delivered)</t>
  </si>
  <si>
    <t xml:space="preserve">9.5 / 9.7</t>
  </si>
  <si>
    <t xml:space="preserve">Config / small code</t>
  </si>
  <si>
    <t xml:space="preserve">Rename or extend default statuses; update status transitions</t>
  </si>
  <si>
    <t xml:space="preserve">Delivery info at checkout (location, contact, instructions)</t>
  </si>
  <si>
    <t xml:space="preserve">9.7</t>
  </si>
  <si>
    <t xml:space="preserve">Add fields at checkout and show in admin order view</t>
  </si>
  <si>
    <t xml:space="preserve">Mobile money payment (MTN / Airtel)</t>
  </si>
  <si>
    <t xml:space="preserve">9.6</t>
  </si>
  <si>
    <t xml:space="preserve">Flutterwave or Pesapal payment method; mark Paid only after webhook confirmation; use sandbox</t>
  </si>
  <si>
    <t xml:space="preserve">Day 2-3</t>
  </si>
  <si>
    <t xml:space="preserve">Worker audit trail for stock and order changes</t>
  </si>
  <si>
    <t xml:space="preserve">9.3 / 10.2</t>
  </si>
  <si>
    <t xml:space="preserve">Add a Laravel activity-log package recording user and date</t>
  </si>
  <si>
    <t xml:space="preserve">Profit per sale</t>
  </si>
  <si>
    <t xml:space="preserve">9.4</t>
  </si>
  <si>
    <t xml:space="preserve">Add cost price to products; compute profit on order items</t>
  </si>
  <si>
    <t xml:space="preserve">Customer notifications on order events</t>
  </si>
  <si>
    <t xml:space="preserve">9.8</t>
  </si>
  <si>
    <t xml:space="preserve">Use built-in order emails; add admin new-order notice</t>
  </si>
  <si>
    <t xml:space="preserve">Branding (name, logo, colours)</t>
  </si>
  <si>
    <t xml:space="preserve">10.1</t>
  </si>
  <si>
    <t xml:space="preserve">Theme tweaks</t>
  </si>
  <si>
    <t xml:space="preserve">Mobile-friendly interface</t>
  </si>
  <si>
    <t xml:space="preserve">10.8</t>
  </si>
  <si>
    <t xml:space="preserve">Test on a real phone</t>
  </si>
  <si>
    <t xml:space="preserve">Luganda language support (optional)</t>
  </si>
  <si>
    <t xml:space="preserve">10.9</t>
  </si>
  <si>
    <t xml:space="preserve">Add a locale if time allows; first thing to cut</t>
  </si>
  <si>
    <t xml:space="preserve">3-day build plan</t>
  </si>
  <si>
    <t xml:space="preserve">Fill Owner and Status (yellow). Status options: Not started, In progress, Done, Cut.</t>
  </si>
  <si>
    <t xml:space="preserve">Day</t>
  </si>
  <si>
    <t xml:space="preserve">Task</t>
  </si>
  <si>
    <t xml:space="preserve">Gap list #</t>
  </si>
  <si>
    <t xml:space="preserve">Owner</t>
  </si>
  <si>
    <t xml:space="preserve">Status</t>
  </si>
  <si>
    <t xml:space="preserve">Notes</t>
  </si>
  <si>
    <t xml:space="preserve">Install Bagisto locally and deploy to a live host</t>
  </si>
  <si>
    <t xml:space="preserve">Create Admin and Worker roles with permissions</t>
  </si>
  <si>
    <t xml:space="preserve">6</t>
  </si>
  <si>
    <t xml:space="preserve">Rebrand theme (name, logo, colours)</t>
  </si>
  <si>
    <t xml:space="preserve">15</t>
  </si>
  <si>
    <t xml:space="preserve">Add 15-20 products with sizes, colours, images, fixed prices</t>
  </si>
  <si>
    <t xml:space="preserve">2</t>
  </si>
  <si>
    <t xml:space="preserve">Place a test order end to end</t>
  </si>
  <si>
    <t xml:space="preserve">4</t>
  </si>
  <si>
    <t xml:space="preserve">Create Flutterwave / Pesapal sandbox account</t>
  </si>
  <si>
    <t xml:space="preserve">11</t>
  </si>
  <si>
    <t xml:space="preserve">Rename / extend order statuses</t>
  </si>
  <si>
    <t xml:space="preserve">9</t>
  </si>
  <si>
    <t xml:space="preserve">Add delivery fields at checkout and admin view</t>
  </si>
  <si>
    <t xml:space="preserve">10</t>
  </si>
  <si>
    <t xml:space="preserve">Add activity log for stock and order changes</t>
  </si>
  <si>
    <t xml:space="preserve">12</t>
  </si>
  <si>
    <t xml:space="preserve">Add low-stock threshold and alert</t>
  </si>
  <si>
    <t xml:space="preserve">8</t>
  </si>
  <si>
    <t xml:space="preserve">Add cost price field and profit calculation</t>
  </si>
  <si>
    <t xml:space="preserve">13</t>
  </si>
  <si>
    <t xml:space="preserve">Start mobile money payment method (sandbox)</t>
  </si>
  <si>
    <t xml:space="preserve">Finish and test payment flow; Paid only on webhook confirmation</t>
  </si>
  <si>
    <t xml:space="preserve">Test on a phone</t>
  </si>
  <si>
    <t xml:space="preserve">16</t>
  </si>
  <si>
    <t xml:space="preserve">Check reports and admin dashboard</t>
  </si>
  <si>
    <t xml:space="preserve">5</t>
  </si>
  <si>
    <t xml:space="preserve">Check the six SMART objectives and capture screenshots</t>
  </si>
  <si>
    <t xml:space="preserve">Write user guide and demo script</t>
  </si>
  <si>
    <t xml:space="preserve">What to cut, in order</t>
  </si>
  <si>
    <t xml:space="preserve">Order</t>
  </si>
  <si>
    <t xml:space="preserve">Cut this</t>
  </si>
  <si>
    <t xml:space="preserve">Replace with</t>
  </si>
  <si>
    <t xml:space="preserve">Luganda language support</t>
  </si>
  <si>
    <t xml:space="preserve">English only; mention as future work</t>
  </si>
  <si>
    <t xml:space="preserve">Live mobile money payments</t>
  </si>
  <si>
    <t xml:space="preserve">Sandbox/test mode; note production approval as next step</t>
  </si>
  <si>
    <t xml:space="preserve">Email notifications</t>
  </si>
  <si>
    <t xml:space="preserve">Dashboard-only alerts</t>
  </si>
  <si>
    <t xml:space="preserve">Do not cut: roles, activity log, order statuses. They show the report was actually implemented.</t>
  </si>
  <si>
    <t xml:space="preserve">Note: live Flutterwave/Pesapal merchant approval can take longer than 3 days; create the sandbox account now.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</si>
</sst>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4"/>
  </cols>
  <sheetData>
    <row r="1" customFormat="false" ht="16.15" hidden="false" customHeight="false" outlineLevel="0" collapsed="false">
      <c r="A1" s="2" t="s">
        <v>0</v>
      </c>
    </row>
    <row r="3" customFormat="false" ht="15" hidden="false" customHeight="false" outlineLevel="0" collapsed="false">
      <c r="A3" s="3" t="s">
        <v>1</v>
      </c>
      <c r="B3" s="3" t="s">
        <v>2</v>
      </c>
    </row>
    <row r="4" customFormat="false" ht="15" hidden="false" customHeight="false" outlineLevel="0" collapsed="false">
      <c r="A4" s="4" t="s">
        <v>3</v>
      </c>
      <c r="B4" s="4" t="n">
        <f aca="false">COUNTA('3-Day Plan'!B5:B21)</f>
        <v>17</v>
      </c>
    </row>
    <row r="5" customFormat="false" ht="15" hidden="false" customHeight="false" outlineLevel="0" collapsed="false">
      <c r="A5" s="4" t="s">
        <v>4</v>
      </c>
      <c r="B5" s="4" t="n">
        <f aca="false">COUNTIF('3-Day Plan'!E5:E21,"Done")</f>
        <v>0</v>
      </c>
    </row>
    <row r="6" customFormat="false" ht="15" hidden="false" customHeight="false" outlineLevel="0" collapsed="false">
      <c r="A6" s="4" t="s">
        <v>5</v>
      </c>
      <c r="B6" s="4" t="n">
        <f aca="false">COUNTIF('3-Day Plan'!E5:E21,"In progress")</f>
        <v>0</v>
      </c>
    </row>
    <row r="7" customFormat="false" ht="15" hidden="false" customHeight="false" outlineLevel="0" collapsed="false">
      <c r="A7" s="4" t="s">
        <v>6</v>
      </c>
      <c r="B7" s="4" t="n">
        <f aca="false">COUNTIF('3-Day Plan'!E5:E21,"Cut")</f>
        <v>0</v>
      </c>
    </row>
    <row r="8" customFormat="false" ht="15" hidden="false" customHeight="false" outlineLevel="0" collapsed="false">
      <c r="A8" s="4" t="s">
        <v>7</v>
      </c>
      <c r="B8" s="4" t="n">
        <f aca="false">COUNTIF('3-Day Plan'!E5:E21,"Not started")</f>
        <v>17</v>
      </c>
    </row>
    <row r="9" customFormat="false" ht="15" hidden="false" customHeight="false" outlineLevel="0" collapsed="false">
      <c r="A9" s="4" t="s">
        <v>8</v>
      </c>
      <c r="B9" s="5" t="n">
        <f aca="false">IF(B4-B7=0,0,B5/(B4-B7))</f>
        <v>0</v>
      </c>
    </row>
    <row r="10" customFormat="false" ht="15" hidden="false" customHeight="false" outlineLevel="0" collapsed="false">
      <c r="A10" s="4" t="s">
        <v>9</v>
      </c>
      <c r="B10" s="4" t="n">
        <f aca="false">COUNTIF('Gap List'!F5:F21,"Yes")</f>
        <v>0</v>
      </c>
    </row>
    <row r="11" customFormat="false" ht="15" hidden="false" customHeight="false" outlineLevel="0" collapsed="false">
      <c r="A11" s="4" t="s">
        <v>10</v>
      </c>
      <c r="B11" s="4" t="n">
        <f aca="false">COUNTA('Gap List'!B5:B21)</f>
        <v>17</v>
      </c>
    </row>
    <row r="13" customFormat="false" ht="15" hidden="false" customHeight="false" outlineLevel="0" collapsed="false">
      <c r="A13" s="6" t="s">
        <v>11</v>
      </c>
    </row>
    <row r="14" customFormat="false" ht="15" hidden="false" customHeight="false" outlineLevel="0" collapsed="false">
      <c r="A14" s="3" t="s">
        <v>12</v>
      </c>
      <c r="B14" s="3" t="s">
        <v>13</v>
      </c>
    </row>
    <row r="15" customFormat="false" ht="15" hidden="false" customHeight="false" outlineLevel="0" collapsed="false">
      <c r="A15" s="4" t="s">
        <v>14</v>
      </c>
      <c r="B15" s="4" t="n">
        <f aca="false">COUNTIF('Gap List'!D5:D21,"Built-in*")</f>
        <v>7</v>
      </c>
    </row>
    <row r="16" customFormat="false" ht="15" hidden="false" customHeight="false" outlineLevel="0" collapsed="false">
      <c r="A16" s="4" t="s">
        <v>15</v>
      </c>
      <c r="B16" s="4" t="n">
        <f aca="false">COUNTIF('Gap List'!D5:D21,"Config*")</f>
        <v>5</v>
      </c>
    </row>
    <row r="17" customFormat="false" ht="15" hidden="false" customHeight="false" outlineLevel="0" collapsed="false">
      <c r="A17" s="4" t="s">
        <v>16</v>
      </c>
      <c r="B17" s="4" t="n">
        <f aca="false">COUNTIF('Gap List'!D5:D21,"Small code change*")</f>
        <v>3</v>
      </c>
    </row>
    <row r="18" customFormat="false" ht="15" hidden="false" customHeight="false" outlineLevel="0" collapsed="false">
      <c r="A18" s="4" t="s">
        <v>17</v>
      </c>
      <c r="B18" s="4" t="n">
        <f aca="false">COUNTIF('Gap List'!D5:D21,"Custom code*")</f>
        <v>2</v>
      </c>
    </row>
    <row r="19" customFormat="false" ht="15" hidden="false" customHeight="false" outlineLevel="0" collapsed="false">
      <c r="A19" s="7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2" activeCellId="0" sqref="A2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3.15"/>
    <col collapsed="false" customWidth="true" hidden="false" outlineLevel="0" max="2" min="2" style="1" width="52"/>
    <col collapsed="false" customWidth="true" hidden="false" outlineLevel="0" max="3" min="3" style="1" width="13"/>
    <col collapsed="false" customWidth="true" hidden="false" outlineLevel="0" max="4" min="4" style="1" width="20"/>
    <col collapsed="false" customWidth="true" hidden="false" outlineLevel="0" max="5" min="5" style="1" width="58"/>
    <col collapsed="false" customWidth="true" hidden="false" outlineLevel="0" max="6" min="6" style="1" width="18"/>
    <col collapsed="false" customWidth="true" hidden="false" outlineLevel="0" max="7" min="7" style="1" width="12"/>
  </cols>
  <sheetData>
    <row r="1" customFormat="false" ht="16.15" hidden="false" customHeight="false" outlineLevel="0" collapsed="false">
      <c r="A1" s="8" t="s">
        <v>19</v>
      </c>
      <c r="B1" s="8"/>
      <c r="C1" s="8"/>
      <c r="D1" s="8"/>
      <c r="E1" s="8"/>
      <c r="F1" s="8"/>
      <c r="G1" s="8"/>
    </row>
    <row r="2" customFormat="false" ht="27.75" hidden="false" customHeight="true" outlineLevel="0" collapsed="false">
      <c r="A2" s="9" t="s">
        <v>20</v>
      </c>
      <c r="B2" s="9"/>
      <c r="C2" s="9"/>
      <c r="D2" s="9"/>
      <c r="E2" s="9"/>
      <c r="F2" s="9"/>
      <c r="G2" s="9"/>
    </row>
    <row r="4" customFormat="false" ht="15" hidden="false" customHeight="false" outlineLevel="0" collapsed="false">
      <c r="A4" s="3" t="s">
        <v>21</v>
      </c>
      <c r="B4" s="3" t="s">
        <v>22</v>
      </c>
      <c r="C4" s="3" t="s">
        <v>23</v>
      </c>
      <c r="D4" s="3" t="s">
        <v>12</v>
      </c>
      <c r="E4" s="3" t="s">
        <v>24</v>
      </c>
      <c r="F4" s="3" t="s">
        <v>25</v>
      </c>
      <c r="G4" s="3" t="s">
        <v>26</v>
      </c>
    </row>
    <row r="5" customFormat="false" ht="15" hidden="false" customHeight="false" outlineLevel="0" collapsed="false">
      <c r="A5" s="4" t="n">
        <v>1</v>
      </c>
      <c r="B5" s="4" t="s">
        <v>27</v>
      </c>
      <c r="C5" s="4" t="s">
        <v>28</v>
      </c>
      <c r="D5" s="4" t="s">
        <v>14</v>
      </c>
      <c r="E5" s="4" t="s">
        <v>29</v>
      </c>
      <c r="F5" s="10"/>
      <c r="G5" s="4" t="s">
        <v>30</v>
      </c>
    </row>
    <row r="6" customFormat="false" ht="15" hidden="false" customHeight="false" outlineLevel="0" collapsed="false">
      <c r="A6" s="4" t="n">
        <v>2</v>
      </c>
      <c r="B6" s="4" t="s">
        <v>31</v>
      </c>
      <c r="C6" s="4" t="s">
        <v>32</v>
      </c>
      <c r="D6" s="4" t="s">
        <v>14</v>
      </c>
      <c r="E6" s="4" t="s">
        <v>33</v>
      </c>
      <c r="F6" s="10"/>
      <c r="G6" s="4" t="s">
        <v>30</v>
      </c>
    </row>
    <row r="7" customFormat="false" ht="15" hidden="false" customHeight="false" outlineLevel="0" collapsed="false">
      <c r="A7" s="4" t="n">
        <v>3</v>
      </c>
      <c r="B7" s="4" t="s">
        <v>34</v>
      </c>
      <c r="C7" s="4" t="s">
        <v>32</v>
      </c>
      <c r="D7" s="4" t="s">
        <v>14</v>
      </c>
      <c r="E7" s="4" t="s">
        <v>35</v>
      </c>
      <c r="F7" s="10"/>
      <c r="G7" s="4" t="s">
        <v>30</v>
      </c>
    </row>
    <row r="8" customFormat="false" ht="15" hidden="false" customHeight="false" outlineLevel="0" collapsed="false">
      <c r="A8" s="4" t="n">
        <v>4</v>
      </c>
      <c r="B8" s="4" t="s">
        <v>36</v>
      </c>
      <c r="C8" s="4" t="s">
        <v>37</v>
      </c>
      <c r="D8" s="4" t="s">
        <v>14</v>
      </c>
      <c r="E8" s="4" t="s">
        <v>38</v>
      </c>
      <c r="F8" s="10"/>
      <c r="G8" s="4" t="s">
        <v>30</v>
      </c>
    </row>
    <row r="9" customFormat="false" ht="15" hidden="false" customHeight="false" outlineLevel="0" collapsed="false">
      <c r="A9" s="4" t="n">
        <v>5</v>
      </c>
      <c r="B9" s="4" t="s">
        <v>39</v>
      </c>
      <c r="C9" s="4" t="s">
        <v>40</v>
      </c>
      <c r="D9" s="4" t="s">
        <v>14</v>
      </c>
      <c r="E9" s="4" t="s">
        <v>41</v>
      </c>
      <c r="F9" s="10"/>
      <c r="G9" s="4" t="s">
        <v>42</v>
      </c>
    </row>
    <row r="10" customFormat="false" ht="15" hidden="false" customHeight="false" outlineLevel="0" collapsed="false">
      <c r="A10" s="4" t="n">
        <v>6</v>
      </c>
      <c r="B10" s="4" t="s">
        <v>43</v>
      </c>
      <c r="C10" s="4" t="s">
        <v>28</v>
      </c>
      <c r="D10" s="4" t="s">
        <v>15</v>
      </c>
      <c r="E10" s="4" t="s">
        <v>44</v>
      </c>
      <c r="F10" s="10"/>
      <c r="G10" s="4" t="s">
        <v>30</v>
      </c>
    </row>
    <row r="11" customFormat="false" ht="15" hidden="false" customHeight="false" outlineLevel="0" collapsed="false">
      <c r="A11" s="4" t="n">
        <v>7</v>
      </c>
      <c r="B11" s="4" t="s">
        <v>45</v>
      </c>
      <c r="C11" s="4" t="s">
        <v>46</v>
      </c>
      <c r="D11" s="4" t="s">
        <v>14</v>
      </c>
      <c r="E11" s="4" t="s">
        <v>47</v>
      </c>
      <c r="F11" s="10"/>
      <c r="G11" s="4" t="s">
        <v>30</v>
      </c>
    </row>
    <row r="12" customFormat="false" ht="15" hidden="false" customHeight="false" outlineLevel="0" collapsed="false">
      <c r="A12" s="4" t="n">
        <v>8</v>
      </c>
      <c r="B12" s="4" t="s">
        <v>48</v>
      </c>
      <c r="C12" s="4" t="s">
        <v>49</v>
      </c>
      <c r="D12" s="4" t="s">
        <v>16</v>
      </c>
      <c r="E12" s="4" t="s">
        <v>50</v>
      </c>
      <c r="F12" s="10"/>
      <c r="G12" s="4" t="s">
        <v>51</v>
      </c>
    </row>
    <row r="13" customFormat="false" ht="28.35" hidden="false" customHeight="false" outlineLevel="0" collapsed="false">
      <c r="A13" s="4" t="n">
        <v>9</v>
      </c>
      <c r="B13" s="4" t="s">
        <v>52</v>
      </c>
      <c r="C13" s="4" t="s">
        <v>53</v>
      </c>
      <c r="D13" s="4" t="s">
        <v>54</v>
      </c>
      <c r="E13" s="4" t="s">
        <v>55</v>
      </c>
      <c r="F13" s="10"/>
      <c r="G13" s="4" t="s">
        <v>51</v>
      </c>
    </row>
    <row r="14" customFormat="false" ht="15" hidden="false" customHeight="false" outlineLevel="0" collapsed="false">
      <c r="A14" s="4" t="n">
        <v>10</v>
      </c>
      <c r="B14" s="4" t="s">
        <v>56</v>
      </c>
      <c r="C14" s="4" t="s">
        <v>57</v>
      </c>
      <c r="D14" s="4" t="s">
        <v>16</v>
      </c>
      <c r="E14" s="4" t="s">
        <v>58</v>
      </c>
      <c r="F14" s="10"/>
      <c r="G14" s="4" t="s">
        <v>51</v>
      </c>
    </row>
    <row r="15" customFormat="false" ht="28.35" hidden="false" customHeight="false" outlineLevel="0" collapsed="false">
      <c r="A15" s="4" t="n">
        <v>11</v>
      </c>
      <c r="B15" s="4" t="s">
        <v>59</v>
      </c>
      <c r="C15" s="4" t="s">
        <v>60</v>
      </c>
      <c r="D15" s="4" t="s">
        <v>17</v>
      </c>
      <c r="E15" s="4" t="s">
        <v>61</v>
      </c>
      <c r="F15" s="10"/>
      <c r="G15" s="4" t="s">
        <v>62</v>
      </c>
    </row>
    <row r="16" customFormat="false" ht="15" hidden="false" customHeight="false" outlineLevel="0" collapsed="false">
      <c r="A16" s="4" t="n">
        <v>12</v>
      </c>
      <c r="B16" s="4" t="s">
        <v>63</v>
      </c>
      <c r="C16" s="4" t="s">
        <v>64</v>
      </c>
      <c r="D16" s="4" t="s">
        <v>17</v>
      </c>
      <c r="E16" s="4" t="s">
        <v>65</v>
      </c>
      <c r="F16" s="10"/>
      <c r="G16" s="4" t="s">
        <v>51</v>
      </c>
    </row>
    <row r="17" customFormat="false" ht="15" hidden="false" customHeight="false" outlineLevel="0" collapsed="false">
      <c r="A17" s="4" t="n">
        <v>13</v>
      </c>
      <c r="B17" s="4" t="s">
        <v>66</v>
      </c>
      <c r="C17" s="4" t="s">
        <v>67</v>
      </c>
      <c r="D17" s="4" t="s">
        <v>16</v>
      </c>
      <c r="E17" s="4" t="s">
        <v>68</v>
      </c>
      <c r="F17" s="10"/>
      <c r="G17" s="4" t="s">
        <v>51</v>
      </c>
    </row>
    <row r="18" customFormat="false" ht="15" hidden="false" customHeight="false" outlineLevel="0" collapsed="false">
      <c r="A18" s="4" t="n">
        <v>14</v>
      </c>
      <c r="B18" s="4" t="s">
        <v>69</v>
      </c>
      <c r="C18" s="4" t="s">
        <v>70</v>
      </c>
      <c r="D18" s="4" t="s">
        <v>15</v>
      </c>
      <c r="E18" s="4" t="s">
        <v>71</v>
      </c>
      <c r="F18" s="10"/>
      <c r="G18" s="4" t="s">
        <v>42</v>
      </c>
    </row>
    <row r="19" customFormat="false" ht="15" hidden="false" customHeight="false" outlineLevel="0" collapsed="false">
      <c r="A19" s="4" t="n">
        <v>15</v>
      </c>
      <c r="B19" s="4" t="s">
        <v>72</v>
      </c>
      <c r="C19" s="4" t="s">
        <v>73</v>
      </c>
      <c r="D19" s="4" t="s">
        <v>15</v>
      </c>
      <c r="E19" s="4" t="s">
        <v>74</v>
      </c>
      <c r="F19" s="10"/>
      <c r="G19" s="4" t="s">
        <v>30</v>
      </c>
    </row>
    <row r="20" customFormat="false" ht="15" hidden="false" customHeight="false" outlineLevel="0" collapsed="false">
      <c r="A20" s="4" t="n">
        <v>16</v>
      </c>
      <c r="B20" s="4" t="s">
        <v>75</v>
      </c>
      <c r="C20" s="4" t="s">
        <v>76</v>
      </c>
      <c r="D20" s="4" t="s">
        <v>14</v>
      </c>
      <c r="E20" s="4" t="s">
        <v>77</v>
      </c>
      <c r="F20" s="10"/>
      <c r="G20" s="4" t="s">
        <v>42</v>
      </c>
    </row>
    <row r="21" customFormat="false" ht="15" hidden="false" customHeight="false" outlineLevel="0" collapsed="false">
      <c r="A21" s="4" t="n">
        <v>17</v>
      </c>
      <c r="B21" s="4" t="s">
        <v>78</v>
      </c>
      <c r="C21" s="4" t="s">
        <v>79</v>
      </c>
      <c r="D21" s="4" t="s">
        <v>15</v>
      </c>
      <c r="E21" s="4" t="s">
        <v>80</v>
      </c>
      <c r="F21" s="10"/>
      <c r="G21" s="4" t="s">
        <v>42</v>
      </c>
    </row>
  </sheetData>
  <mergeCells count="2">
    <mergeCell ref="A1:G1"/>
    <mergeCell ref="A2:G2"/>
  </mergeCells>
  <dataValidations count="1">
    <dataValidation allowBlank="true" errorStyle="stop" operator="between" showDropDown="false" showErrorMessage="false" showInputMessage="false" sqref="F5:F21" type="list">
      <formula1>"Yes,No,Partly"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62"/>
    <col collapsed="false" customWidth="true" hidden="false" outlineLevel="0" max="3" min="3" style="1" width="11"/>
    <col collapsed="false" customWidth="true" hidden="false" outlineLevel="0" max="4" min="4" style="1" width="16"/>
    <col collapsed="false" customWidth="true" hidden="false" outlineLevel="0" max="5" min="5" style="1" width="15"/>
    <col collapsed="false" customWidth="true" hidden="false" outlineLevel="0" max="6" min="6" style="1" width="34"/>
  </cols>
  <sheetData>
    <row r="1" customFormat="false" ht="16.15" hidden="false" customHeight="false" outlineLevel="0" collapsed="false">
      <c r="A1" s="2" t="s">
        <v>81</v>
      </c>
    </row>
    <row r="2" customFormat="false" ht="15" hidden="false" customHeight="false" outlineLevel="0" collapsed="false">
      <c r="A2" s="7" t="s">
        <v>82</v>
      </c>
    </row>
    <row r="4" customFormat="false" ht="15" hidden="false" customHeight="false" outlineLevel="0" collapsed="false">
      <c r="A4" s="3" t="s">
        <v>83</v>
      </c>
      <c r="B4" s="3" t="s">
        <v>84</v>
      </c>
      <c r="C4" s="3" t="s">
        <v>85</v>
      </c>
      <c r="D4" s="3" t="s">
        <v>86</v>
      </c>
      <c r="E4" s="3" t="s">
        <v>87</v>
      </c>
      <c r="F4" s="3" t="s">
        <v>88</v>
      </c>
    </row>
    <row r="5" customFormat="false" ht="15" hidden="false" customHeight="false" outlineLevel="0" collapsed="false">
      <c r="A5" s="4" t="s">
        <v>30</v>
      </c>
      <c r="B5" s="4" t="s">
        <v>89</v>
      </c>
      <c r="C5" s="4"/>
      <c r="D5" s="10"/>
      <c r="E5" s="10" t="s">
        <v>7</v>
      </c>
      <c r="F5" s="10"/>
    </row>
    <row r="6" customFormat="false" ht="15" hidden="false" customHeight="false" outlineLevel="0" collapsed="false">
      <c r="A6" s="4" t="s">
        <v>30</v>
      </c>
      <c r="B6" s="4" t="s">
        <v>90</v>
      </c>
      <c r="C6" s="4" t="s">
        <v>91</v>
      </c>
      <c r="D6" s="10"/>
      <c r="E6" s="10" t="s">
        <v>7</v>
      </c>
      <c r="F6" s="10"/>
    </row>
    <row r="7" customFormat="false" ht="15" hidden="false" customHeight="false" outlineLevel="0" collapsed="false">
      <c r="A7" s="4" t="s">
        <v>30</v>
      </c>
      <c r="B7" s="4" t="s">
        <v>92</v>
      </c>
      <c r="C7" s="4" t="s">
        <v>93</v>
      </c>
      <c r="D7" s="10"/>
      <c r="E7" s="10" t="s">
        <v>7</v>
      </c>
      <c r="F7" s="10"/>
    </row>
    <row r="8" customFormat="false" ht="15" hidden="false" customHeight="false" outlineLevel="0" collapsed="false">
      <c r="A8" s="4" t="s">
        <v>30</v>
      </c>
      <c r="B8" s="4" t="s">
        <v>94</v>
      </c>
      <c r="C8" s="4" t="s">
        <v>95</v>
      </c>
      <c r="D8" s="10"/>
      <c r="E8" s="10" t="s">
        <v>7</v>
      </c>
      <c r="F8" s="10"/>
    </row>
    <row r="9" customFormat="false" ht="15" hidden="false" customHeight="false" outlineLevel="0" collapsed="false">
      <c r="A9" s="4" t="s">
        <v>30</v>
      </c>
      <c r="B9" s="4" t="s">
        <v>96</v>
      </c>
      <c r="C9" s="4" t="s">
        <v>97</v>
      </c>
      <c r="D9" s="10"/>
      <c r="E9" s="10" t="s">
        <v>7</v>
      </c>
      <c r="F9" s="10"/>
    </row>
    <row r="10" customFormat="false" ht="15" hidden="false" customHeight="false" outlineLevel="0" collapsed="false">
      <c r="A10" s="4" t="s">
        <v>30</v>
      </c>
      <c r="B10" s="4" t="s">
        <v>98</v>
      </c>
      <c r="C10" s="4" t="s">
        <v>99</v>
      </c>
      <c r="D10" s="10"/>
      <c r="E10" s="10" t="s">
        <v>7</v>
      </c>
      <c r="F10" s="10"/>
    </row>
    <row r="11" customFormat="false" ht="15" hidden="false" customHeight="false" outlineLevel="0" collapsed="false">
      <c r="A11" s="4" t="s">
        <v>51</v>
      </c>
      <c r="B11" s="4" t="s">
        <v>100</v>
      </c>
      <c r="C11" s="4" t="s">
        <v>101</v>
      </c>
      <c r="D11" s="10"/>
      <c r="E11" s="10" t="s">
        <v>7</v>
      </c>
      <c r="F11" s="10"/>
    </row>
    <row r="12" customFormat="false" ht="15" hidden="false" customHeight="false" outlineLevel="0" collapsed="false">
      <c r="A12" s="4" t="s">
        <v>51</v>
      </c>
      <c r="B12" s="4" t="s">
        <v>102</v>
      </c>
      <c r="C12" s="4" t="s">
        <v>103</v>
      </c>
      <c r="D12" s="10"/>
      <c r="E12" s="10" t="s">
        <v>7</v>
      </c>
      <c r="F12" s="10"/>
    </row>
    <row r="13" customFormat="false" ht="15" hidden="false" customHeight="false" outlineLevel="0" collapsed="false">
      <c r="A13" s="4" t="s">
        <v>51</v>
      </c>
      <c r="B13" s="4" t="s">
        <v>104</v>
      </c>
      <c r="C13" s="4" t="s">
        <v>105</v>
      </c>
      <c r="D13" s="10"/>
      <c r="E13" s="10" t="s">
        <v>7</v>
      </c>
      <c r="F13" s="10"/>
    </row>
    <row r="14" customFormat="false" ht="15" hidden="false" customHeight="false" outlineLevel="0" collapsed="false">
      <c r="A14" s="4" t="s">
        <v>51</v>
      </c>
      <c r="B14" s="4" t="s">
        <v>106</v>
      </c>
      <c r="C14" s="4" t="s">
        <v>107</v>
      </c>
      <c r="D14" s="10"/>
      <c r="E14" s="10" t="s">
        <v>7</v>
      </c>
      <c r="F14" s="10"/>
    </row>
    <row r="15" customFormat="false" ht="15" hidden="false" customHeight="false" outlineLevel="0" collapsed="false">
      <c r="A15" s="4" t="s">
        <v>51</v>
      </c>
      <c r="B15" s="4" t="s">
        <v>108</v>
      </c>
      <c r="C15" s="4" t="s">
        <v>109</v>
      </c>
      <c r="D15" s="10"/>
      <c r="E15" s="10" t="s">
        <v>7</v>
      </c>
      <c r="F15" s="10"/>
    </row>
    <row r="16" customFormat="false" ht="15" hidden="false" customHeight="false" outlineLevel="0" collapsed="false">
      <c r="A16" s="4" t="s">
        <v>51</v>
      </c>
      <c r="B16" s="4" t="s">
        <v>110</v>
      </c>
      <c r="C16" s="4" t="s">
        <v>99</v>
      </c>
      <c r="D16" s="10"/>
      <c r="E16" s="10" t="s">
        <v>7</v>
      </c>
      <c r="F16" s="10"/>
    </row>
    <row r="17" customFormat="false" ht="15" hidden="false" customHeight="false" outlineLevel="0" collapsed="false">
      <c r="A17" s="4" t="s">
        <v>42</v>
      </c>
      <c r="B17" s="4" t="s">
        <v>111</v>
      </c>
      <c r="C17" s="4" t="s">
        <v>99</v>
      </c>
      <c r="D17" s="10"/>
      <c r="E17" s="10" t="s">
        <v>7</v>
      </c>
      <c r="F17" s="10"/>
    </row>
    <row r="18" customFormat="false" ht="15" hidden="false" customHeight="false" outlineLevel="0" collapsed="false">
      <c r="A18" s="4" t="s">
        <v>42</v>
      </c>
      <c r="B18" s="4" t="s">
        <v>112</v>
      </c>
      <c r="C18" s="4" t="s">
        <v>113</v>
      </c>
      <c r="D18" s="10"/>
      <c r="E18" s="10" t="s">
        <v>7</v>
      </c>
      <c r="F18" s="10"/>
    </row>
    <row r="19" customFormat="false" ht="15" hidden="false" customHeight="false" outlineLevel="0" collapsed="false">
      <c r="A19" s="4" t="s">
        <v>42</v>
      </c>
      <c r="B19" s="4" t="s">
        <v>114</v>
      </c>
      <c r="C19" s="4" t="s">
        <v>115</v>
      </c>
      <c r="D19" s="10"/>
      <c r="E19" s="10" t="s">
        <v>7</v>
      </c>
      <c r="F19" s="10"/>
    </row>
    <row r="20" customFormat="false" ht="15" hidden="false" customHeight="false" outlineLevel="0" collapsed="false">
      <c r="A20" s="4" t="s">
        <v>42</v>
      </c>
      <c r="B20" s="4" t="s">
        <v>116</v>
      </c>
      <c r="C20" s="4"/>
      <c r="D20" s="10"/>
      <c r="E20" s="10" t="s">
        <v>7</v>
      </c>
      <c r="F20" s="10"/>
    </row>
    <row r="21" customFormat="false" ht="15" hidden="false" customHeight="false" outlineLevel="0" collapsed="false">
      <c r="A21" s="4" t="s">
        <v>42</v>
      </c>
      <c r="B21" s="4" t="s">
        <v>117</v>
      </c>
      <c r="C21" s="4"/>
      <c r="D21" s="10"/>
      <c r="E21" s="10" t="s">
        <v>7</v>
      </c>
      <c r="F21" s="10"/>
    </row>
  </sheetData>
  <conditionalFormatting sqref="E5:E21">
    <cfRule type="cellIs" priority="2" operator="equal" aboveAverage="0" equalAverage="0" bottom="0" percent="0" rank="0" text="" dxfId="0">
      <formula>"Done"</formula>
    </cfRule>
    <cfRule type="cellIs" priority="3" operator="equal" aboveAverage="0" equalAverage="0" bottom="0" percent="0" rank="0" text="" dxfId="1">
      <formula>"Cut"</formula>
    </cfRule>
  </conditionalFormatting>
  <dataValidations count="1">
    <dataValidation allowBlank="false" errorStyle="stop" operator="between" showDropDown="false" showErrorMessage="false" showInputMessage="false" sqref="E5:E21" type="list">
      <formula1>"Not started,In progress,Done,Cut"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40"/>
    <col collapsed="false" customWidth="true" hidden="false" outlineLevel="0" max="3" min="3" style="1" width="55"/>
  </cols>
  <sheetData>
    <row r="1" customFormat="false" ht="16.15" hidden="false" customHeight="false" outlineLevel="0" collapsed="false">
      <c r="A1" s="2" t="s">
        <v>118</v>
      </c>
    </row>
    <row r="3" customFormat="false" ht="15" hidden="false" customHeight="false" outlineLevel="0" collapsed="false">
      <c r="A3" s="3" t="s">
        <v>119</v>
      </c>
      <c r="B3" s="3" t="s">
        <v>120</v>
      </c>
      <c r="C3" s="3" t="s">
        <v>121</v>
      </c>
    </row>
    <row r="4" customFormat="false" ht="15" hidden="false" customHeight="false" outlineLevel="0" collapsed="false">
      <c r="A4" s="4" t="n">
        <v>1</v>
      </c>
      <c r="B4" s="4" t="s">
        <v>122</v>
      </c>
      <c r="C4" s="4" t="s">
        <v>123</v>
      </c>
    </row>
    <row r="5" customFormat="false" ht="15" hidden="false" customHeight="false" outlineLevel="0" collapsed="false">
      <c r="A5" s="4" t="n">
        <v>2</v>
      </c>
      <c r="B5" s="4" t="s">
        <v>124</v>
      </c>
      <c r="C5" s="4" t="s">
        <v>125</v>
      </c>
    </row>
    <row r="6" customFormat="false" ht="15" hidden="false" customHeight="false" outlineLevel="0" collapsed="false">
      <c r="A6" s="4" t="n">
        <v>3</v>
      </c>
      <c r="B6" s="4" t="s">
        <v>126</v>
      </c>
      <c r="C6" s="4" t="s">
        <v>127</v>
      </c>
    </row>
    <row r="8" customFormat="false" ht="15" hidden="false" customHeight="false" outlineLevel="0" collapsed="false">
      <c r="A8" s="6" t="s">
        <v>128</v>
      </c>
    </row>
    <row r="9" customFormat="false" ht="15" hidden="false" customHeight="false" outlineLevel="0" collapsed="false">
      <c r="A9" s="11" t="s">
        <v>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2026-10-01T13:41:24Z</dcterms:created>
  <dc:creator>openpyxl</dc:creator>
  <dc:description/>
  <dc:language>en-US</dc:language>
  <cp:lastModifiedBy/>
  <dcterms:modified xsi:type="dcterms:W3CDTF">2026-10-01T21:31:29Z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
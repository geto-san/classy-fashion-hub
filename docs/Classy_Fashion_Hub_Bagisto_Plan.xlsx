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p List" sheetId="2" state="visible" r:id="rId2"/>
    <sheet xmlns:r="http://schemas.openxmlformats.org/officeDocument/2006/relationships" name="3-Day Plan" sheetId="3" state="visible" r:id="rId3"/>
    <sheet xmlns:r="http://schemas.openxmlformats.org/officeDocument/2006/relationships" name="If Time Slip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C6EF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10" min="1" max="1"/>
    <col width="14" customWidth="1" style="10" min="2" max="2"/>
  </cols>
  <sheetData>
    <row r="1" ht="16.15" customHeight="1" s="11">
      <c r="A1" s="12" t="inlineStr">
        <is>
          <t>Progress summary</t>
        </is>
      </c>
    </row>
    <row r="3" ht="15" customHeight="1" s="11">
      <c r="A3" s="13" t="inlineStr">
        <is>
          <t>Measure</t>
        </is>
      </c>
      <c r="B3" s="13" t="inlineStr">
        <is>
          <t>Value</t>
        </is>
      </c>
    </row>
    <row r="4" ht="15" customHeight="1" s="11">
      <c r="A4" s="14" t="inlineStr">
        <is>
          <t>Total plan tasks</t>
        </is>
      </c>
      <c r="B4" s="14">
        <f>COUNTA('3-Day Plan'!B5:B21)</f>
        <v/>
      </c>
    </row>
    <row r="5" ht="15" customHeight="1" s="11">
      <c r="A5" s="14" t="inlineStr">
        <is>
          <t>Done</t>
        </is>
      </c>
      <c r="B5" s="14">
        <f>COUNTIF('3-Day Plan'!E5:E21,"Done")</f>
        <v/>
      </c>
    </row>
    <row r="6" ht="15" customHeight="1" s="11">
      <c r="A6" s="14" t="inlineStr">
        <is>
          <t>In progress</t>
        </is>
      </c>
      <c r="B6" s="14">
        <f>COUNTIF('3-Day Plan'!E5:E21,"In progress")</f>
        <v/>
      </c>
    </row>
    <row r="7" ht="15" customHeight="1" s="11">
      <c r="A7" s="14" t="inlineStr">
        <is>
          <t>Cut</t>
        </is>
      </c>
      <c r="B7" s="14">
        <f>COUNTIF('3-Day Plan'!E5:E21,"Cut")</f>
        <v/>
      </c>
    </row>
    <row r="8" ht="15" customHeight="1" s="11">
      <c r="A8" s="14" t="inlineStr">
        <is>
          <t>Not started</t>
        </is>
      </c>
      <c r="B8" s="14">
        <f>COUNTIF('3-Day Plan'!E5:E21,"Not started")</f>
        <v/>
      </c>
    </row>
    <row r="9" ht="15" customHeight="1" s="11">
      <c r="A9" s="14" t="inlineStr">
        <is>
          <t>% complete (excluding cut)</t>
        </is>
      </c>
      <c r="B9" s="15">
        <f>IF(B4-B7=0,0,B5/(B4-B7))</f>
        <v/>
      </c>
    </row>
    <row r="10" ht="15" customHeight="1" s="11">
      <c r="A10" s="14" t="inlineStr">
        <is>
          <t>Requirements verified in Bagisto (Yes)</t>
        </is>
      </c>
      <c r="B10" s="14">
        <f>COUNTIF('Gap List'!F5:F21,"Yes")</f>
        <v/>
      </c>
    </row>
    <row r="11" ht="15" customHeight="1" s="11">
      <c r="A11" s="14" t="inlineStr">
        <is>
          <t>Total requirements</t>
        </is>
      </c>
      <c r="B11" s="14">
        <f>COUNTA('Gap List'!B5:B21)</f>
        <v/>
      </c>
    </row>
    <row r="13" ht="15" customHeight="1" s="11">
      <c r="A13" s="16" t="inlineStr">
        <is>
          <t>Fit level breakdown</t>
        </is>
      </c>
    </row>
    <row r="14" ht="15" customHeight="1" s="11">
      <c r="A14" s="13" t="inlineStr">
        <is>
          <t>Fit level</t>
        </is>
      </c>
      <c r="B14" s="13" t="inlineStr">
        <is>
          <t>Count</t>
        </is>
      </c>
    </row>
    <row r="15" ht="15" customHeight="1" s="11">
      <c r="A15" s="14" t="inlineStr">
        <is>
          <t>Built-in</t>
        </is>
      </c>
      <c r="B15" s="14">
        <f>COUNTIF('Gap List'!D5:D21,"Built-in*")</f>
        <v/>
      </c>
    </row>
    <row r="16" ht="15" customHeight="1" s="11">
      <c r="A16" s="14" t="inlineStr">
        <is>
          <t>Config</t>
        </is>
      </c>
      <c r="B16" s="14">
        <f>COUNTIF('Gap List'!D5:D21,"Config*")</f>
        <v/>
      </c>
    </row>
    <row r="17" ht="15" customHeight="1" s="11">
      <c r="A17" s="14" t="inlineStr">
        <is>
          <t>Small code change</t>
        </is>
      </c>
      <c r="B17" s="14">
        <f>COUNTIF('Gap List'!D5:D21,"Small code change*")</f>
        <v/>
      </c>
    </row>
    <row r="18" ht="15" customHeight="1" s="11">
      <c r="A18" s="14" t="inlineStr">
        <is>
          <t>Custom code</t>
        </is>
      </c>
      <c r="B18" s="14">
        <f>COUNTIF('Gap List'!D5:D21,"Custom code*")</f>
        <v/>
      </c>
    </row>
    <row r="19" ht="15" customHeight="1" s="11">
      <c r="A19" s="17" t="inlineStr">
        <is>
          <t>Note: 'Config / small code' items are counted under Config.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52" customWidth="1" style="10" min="2" max="2"/>
    <col width="13" customWidth="1" style="10" min="3" max="3"/>
    <col width="20" customWidth="1" style="10" min="4" max="4"/>
    <col width="58" customWidth="1" style="10" min="5" max="5"/>
    <col width="18" customWidth="1" style="10" min="6" max="6"/>
    <col width="12" customWidth="1" style="10" min="7" max="7"/>
  </cols>
  <sheetData>
    <row r="1" ht="16.15" customHeight="1" s="11">
      <c r="A1" s="12" t="inlineStr">
        <is>
          <t>Bagisto gap list - Classy Fashion Hub e-commerce system</t>
        </is>
      </c>
    </row>
    <row r="2" ht="27.75" customHeight="1" s="11">
      <c r="A2" s="18" t="inlineStr">
        <is>
          <t>Fit levels come from general knowledge of Bagisto, not a code audit. Update column F after checking in the admin panel / demo on Day 1. Yellow cells are for you to fill.</t>
        </is>
      </c>
    </row>
    <row r="4" ht="23.85" customHeight="1" s="11">
      <c r="A4" s="13" t="inlineStr">
        <is>
          <t>#</t>
        </is>
      </c>
      <c r="B4" s="13" t="inlineStr">
        <is>
          <t>Requirement</t>
        </is>
      </c>
      <c r="C4" s="13" t="inlineStr">
        <is>
          <t>Report section</t>
        </is>
      </c>
      <c r="D4" s="13" t="inlineStr">
        <is>
          <t>Fit level</t>
        </is>
      </c>
      <c r="E4" s="13" t="inlineStr">
        <is>
          <t>Notes / what to do</t>
        </is>
      </c>
      <c r="F4" s="13" t="inlineStr">
        <is>
          <t>Verified in Bagisto?</t>
        </is>
      </c>
      <c r="G4" s="13" t="inlineStr">
        <is>
          <t>Planned day</t>
        </is>
      </c>
    </row>
    <row r="5" ht="15" customHeight="1" s="11">
      <c r="A5" s="14" t="n">
        <v>1</v>
      </c>
      <c r="B5" s="14" t="inlineStr">
        <is>
          <t>Customer registration, login, password recovery</t>
        </is>
      </c>
      <c r="C5" s="14" t="inlineStr">
        <is>
          <t>9.1</t>
        </is>
      </c>
      <c r="D5" s="14" t="inlineStr">
        <is>
          <t>Built-in</t>
        </is>
      </c>
      <c r="E5" s="14" t="inlineStr">
        <is>
          <t>Use default customer auth; confirm password reset email works</t>
        </is>
      </c>
      <c r="F5" s="19" t="inlineStr">
        <is>
          <t>Yes</t>
        </is>
      </c>
      <c r="G5" s="14" t="inlineStr">
        <is>
          <t>Day 1</t>
        </is>
      </c>
    </row>
    <row r="6" ht="15" customHeight="1" s="11">
      <c r="A6" s="14" t="n">
        <v>2</v>
      </c>
      <c r="B6" s="14" t="inlineStr">
        <is>
          <t>Product catalogue: size, colour, price, images, search, filters</t>
        </is>
      </c>
      <c r="C6" s="14" t="inlineStr">
        <is>
          <t>9.2</t>
        </is>
      </c>
      <c r="D6" s="14" t="inlineStr">
        <is>
          <t>Built-in</t>
        </is>
      </c>
      <c r="E6" s="14" t="inlineStr">
        <is>
          <t>Use configurable products for size/colour variants</t>
        </is>
      </c>
      <c r="F6" s="19" t="inlineStr">
        <is>
          <t>Yes</t>
        </is>
      </c>
      <c r="G6" s="14" t="inlineStr">
        <is>
          <t>Day 1</t>
        </is>
      </c>
    </row>
    <row r="7" ht="15" customHeight="1" s="11">
      <c r="A7" s="14" t="n">
        <v>3</v>
      </c>
      <c r="B7" s="14" t="inlineStr">
        <is>
          <t>Deactivate (not delete) discontinued products</t>
        </is>
      </c>
      <c r="C7" s="14" t="inlineStr">
        <is>
          <t>9.2</t>
        </is>
      </c>
      <c r="D7" s="14" t="inlineStr">
        <is>
          <t>Built-in</t>
        </is>
      </c>
      <c r="E7" s="14" t="inlineStr">
        <is>
          <t>Use the product status toggle</t>
        </is>
      </c>
      <c r="F7" s="19" t="inlineStr">
        <is>
          <t>Yes</t>
        </is>
      </c>
      <c r="G7" s="14" t="inlineStr">
        <is>
          <t>Day 1</t>
        </is>
      </c>
    </row>
    <row r="8" ht="15" customHeight="1" s="11">
      <c r="A8" s="14" t="n">
        <v>4</v>
      </c>
      <c r="B8" s="14" t="inlineStr">
        <is>
          <t>Cart, checkout, order history</t>
        </is>
      </c>
      <c r="C8" s="14" t="inlineStr">
        <is>
          <t>9.5</t>
        </is>
      </c>
      <c r="D8" s="14" t="inlineStr">
        <is>
          <t>Built-in</t>
        </is>
      </c>
      <c r="E8" s="14" t="inlineStr">
        <is>
          <t>Run a full test order on Day 1</t>
        </is>
      </c>
      <c r="F8" s="19" t="inlineStr">
        <is>
          <t>Yes</t>
        </is>
      </c>
      <c r="G8" s="14" t="inlineStr">
        <is>
          <t>Day 1</t>
        </is>
      </c>
    </row>
    <row r="9" ht="15" customHeight="1" s="11">
      <c r="A9" s="14" t="n">
        <v>5</v>
      </c>
      <c r="B9" s="14" t="inlineStr">
        <is>
          <t>Admin dashboard and sales reports</t>
        </is>
      </c>
      <c r="C9" s="14" t="inlineStr">
        <is>
          <t>9.9</t>
        </is>
      </c>
      <c r="D9" s="14" t="inlineStr">
        <is>
          <t>Built-in</t>
        </is>
      </c>
      <c r="E9" s="14" t="inlineStr">
        <is>
          <t>Light customisation; check export options</t>
        </is>
      </c>
      <c r="F9" s="19" t="inlineStr">
        <is>
          <t>Yes</t>
        </is>
      </c>
      <c r="G9" s="14" t="inlineStr">
        <is>
          <t>Day 3</t>
        </is>
      </c>
    </row>
    <row r="10" ht="15" customHeight="1" s="11">
      <c r="A10" s="14" t="n">
        <v>6</v>
      </c>
      <c r="B10" s="14" t="inlineStr">
        <is>
          <t>Admin vs Worker roles with limited permissions</t>
        </is>
      </c>
      <c r="C10" s="14" t="inlineStr">
        <is>
          <t>9.1</t>
        </is>
      </c>
      <c r="D10" s="14" t="inlineStr">
        <is>
          <t>Config</t>
        </is>
      </c>
      <c r="E10" s="14" t="inlineStr">
        <is>
          <t>Create a 'Worker' role in the admin ACL; restrict sensitive pages</t>
        </is>
      </c>
      <c r="F10" s="19" t="inlineStr">
        <is>
          <t>Yes</t>
        </is>
      </c>
      <c r="G10" s="14" t="inlineStr">
        <is>
          <t>Day 1</t>
        </is>
      </c>
    </row>
    <row r="11" ht="15" customHeight="1" s="11">
      <c r="A11" s="14" t="n">
        <v>7</v>
      </c>
      <c r="B11" s="14" t="inlineStr">
        <is>
          <t>Stock quantities per product</t>
        </is>
      </c>
      <c r="C11" s="14" t="inlineStr">
        <is>
          <t>9.3</t>
        </is>
      </c>
      <c r="D11" s="14" t="inlineStr">
        <is>
          <t>Built-in</t>
        </is>
      </c>
      <c r="E11" s="14" t="inlineStr">
        <is>
          <t>Set inventory per variant</t>
        </is>
      </c>
      <c r="F11" s="19" t="inlineStr">
        <is>
          <t>Yes</t>
        </is>
      </c>
      <c r="G11" s="14" t="inlineStr">
        <is>
          <t>Day 1</t>
        </is>
      </c>
    </row>
    <row r="12" ht="15" customHeight="1" s="11">
      <c r="A12" s="14" t="n">
        <v>8</v>
      </c>
      <c r="B12" s="14" t="inlineStr">
        <is>
          <t>Low-stock threshold and alert</t>
        </is>
      </c>
      <c r="C12" s="14" t="inlineStr">
        <is>
          <t>9.3 / 9.8</t>
        </is>
      </c>
      <c r="D12" s="14" t="inlineStr">
        <is>
          <t>Small code change</t>
        </is>
      </c>
      <c r="E12" s="14" t="inlineStr">
        <is>
          <t>Add threshold field plus admin notice or email</t>
        </is>
      </c>
      <c r="F12" s="19" t="inlineStr">
        <is>
          <t>Yes</t>
        </is>
      </c>
      <c r="G12" s="14" t="inlineStr">
        <is>
          <t>Day 2</t>
        </is>
      </c>
    </row>
    <row r="13" ht="23.85" customHeight="1" s="11">
      <c r="A13" s="14" t="n">
        <v>9</v>
      </c>
      <c r="B13" s="14" t="inlineStr">
        <is>
          <t>Custom order statuses (Pending, Confirmed, Paid, Processing, Dispatched, Delivered)</t>
        </is>
      </c>
      <c r="C13" s="14" t="inlineStr">
        <is>
          <t>9.5 / 9.7</t>
        </is>
      </c>
      <c r="D13" s="14" t="inlineStr">
        <is>
          <t>Config / small code</t>
        </is>
      </c>
      <c r="E13" s="14" t="inlineStr">
        <is>
          <t>Rename or extend default statuses; update status transitions</t>
        </is>
      </c>
      <c r="F13" s="19" t="inlineStr">
        <is>
          <t>Yes</t>
        </is>
      </c>
      <c r="G13" s="14" t="inlineStr">
        <is>
          <t>Day 2</t>
        </is>
      </c>
    </row>
    <row r="14" ht="15" customHeight="1" s="11">
      <c r="A14" s="14" t="n">
        <v>10</v>
      </c>
      <c r="B14" s="14" t="inlineStr">
        <is>
          <t>Delivery info at checkout (location, contact, instructions)</t>
        </is>
      </c>
      <c r="C14" s="14" t="inlineStr">
        <is>
          <t>9.7</t>
        </is>
      </c>
      <c r="D14" s="14" t="inlineStr">
        <is>
          <t>Small code change</t>
        </is>
      </c>
      <c r="E14" s="14" t="inlineStr">
        <is>
          <t>Admin new-order notices verified (3 rows); customer order emails built-in but SMTP unconfigured -&gt; dashboard-only per cut order</t>
        </is>
      </c>
      <c r="F14" s="19" t="inlineStr">
        <is>
          <t>Partly</t>
        </is>
      </c>
      <c r="G14" s="14" t="inlineStr">
        <is>
          <t>Day 2</t>
        </is>
      </c>
    </row>
    <row r="15" ht="23.85" customHeight="1" s="11">
      <c r="A15" s="14" t="n">
        <v>11</v>
      </c>
      <c r="B15" s="14" t="inlineStr">
        <is>
          <t>Mobile money payment (MTN / Airtel)</t>
        </is>
      </c>
      <c r="C15" s="14" t="inlineStr">
        <is>
          <t>9.6</t>
        </is>
      </c>
      <c r="D15" s="14" t="inlineStr">
        <is>
          <t>Custom code</t>
        </is>
      </c>
      <c r="E15" s="14" t="inlineStr">
        <is>
          <t>Flutterwave or Pesapal payment method; mark Paid only after webhook confirmation; use sandbox</t>
        </is>
      </c>
      <c r="F15" s="19" t="inlineStr">
        <is>
          <t>Yes</t>
        </is>
      </c>
      <c r="G15" s="14" t="inlineStr">
        <is>
          <t>Day 2-3</t>
        </is>
      </c>
    </row>
    <row r="16" ht="15" customHeight="1" s="11">
      <c r="A16" s="14" t="n">
        <v>12</v>
      </c>
      <c r="B16" s="14" t="inlineStr">
        <is>
          <t>Worker audit trail for stock and order changes</t>
        </is>
      </c>
      <c r="C16" s="14" t="inlineStr">
        <is>
          <t>9.3 / 10.2</t>
        </is>
      </c>
      <c r="D16" s="14" t="inlineStr">
        <is>
          <t>Custom code</t>
        </is>
      </c>
      <c r="E16" s="14" t="inlineStr">
        <is>
          <t>Add a Laravel activity-log package recording user and date</t>
        </is>
      </c>
      <c r="F16" s="19" t="inlineStr">
        <is>
          <t>Yes</t>
        </is>
      </c>
      <c r="G16" s="14" t="inlineStr">
        <is>
          <t>Day 2</t>
        </is>
      </c>
    </row>
    <row r="17" ht="15" customHeight="1" s="11">
      <c r="A17" s="14" t="n">
        <v>13</v>
      </c>
      <c r="B17" s="14" t="inlineStr">
        <is>
          <t>Profit per sale</t>
        </is>
      </c>
      <c r="C17" s="14" t="inlineStr">
        <is>
          <t>9.4</t>
        </is>
      </c>
      <c r="D17" s="14" t="inlineStr">
        <is>
          <t>Small code change</t>
        </is>
      </c>
      <c r="E17" s="14" t="inlineStr">
        <is>
          <t>Cut per plan (first cut). English only; noted as future work in KNOWN_LIMITATIONS.md</t>
        </is>
      </c>
      <c r="F17" s="19" t="inlineStr">
        <is>
          <t>Yes (period report added)</t>
        </is>
      </c>
      <c r="G17" s="14" t="inlineStr">
        <is>
          <t>Day 2</t>
        </is>
      </c>
    </row>
    <row r="18" ht="15" customHeight="1" s="11">
      <c r="A18" s="14" t="n">
        <v>14</v>
      </c>
      <c r="B18" s="14" t="inlineStr">
        <is>
          <t>Customer notifications on order events</t>
        </is>
      </c>
      <c r="C18" s="14" t="inlineStr">
        <is>
          <t>9.8</t>
        </is>
      </c>
      <c r="D18" s="14" t="inlineStr">
        <is>
          <t>Config</t>
        </is>
      </c>
      <c r="E18" s="14" t="inlineStr">
        <is>
          <t>Use built-in order emails; add admin new-order notice</t>
        </is>
      </c>
      <c r="F18" s="19" t="n"/>
      <c r="G18" s="14" t="inlineStr">
        <is>
          <t>Day 3</t>
        </is>
      </c>
    </row>
    <row r="19" ht="15" customHeight="1" s="11">
      <c r="A19" s="14" t="n">
        <v>15</v>
      </c>
      <c r="B19" s="14" t="inlineStr">
        <is>
          <t>Branding (name, logo, colours)</t>
        </is>
      </c>
      <c r="C19" s="14" t="inlineStr">
        <is>
          <t>10.1</t>
        </is>
      </c>
      <c r="D19" s="14" t="inlineStr">
        <is>
          <t>Config</t>
        </is>
      </c>
      <c r="E19" s="14" t="inlineStr">
        <is>
          <t>Theme tweaks</t>
        </is>
      </c>
      <c r="F19" s="19" t="inlineStr">
        <is>
          <t>Yes (brand v1.0 applied)</t>
        </is>
      </c>
      <c r="G19" s="14" t="inlineStr">
        <is>
          <t>Day 1</t>
        </is>
      </c>
    </row>
    <row r="20" ht="15" customHeight="1" s="11">
      <c r="A20" s="14" t="n">
        <v>16</v>
      </c>
      <c r="B20" s="14" t="inlineStr">
        <is>
          <t>Mobile-friendly interface</t>
        </is>
      </c>
      <c r="C20" s="14" t="inlineStr">
        <is>
          <t>10.8</t>
        </is>
      </c>
      <c r="D20" s="14" t="inlineStr">
        <is>
          <t>Built-in</t>
        </is>
      </c>
      <c r="E20" s="14" t="inlineStr">
        <is>
          <t>Test on a real phone</t>
        </is>
      </c>
      <c r="F20" s="19" t="n"/>
      <c r="G20" s="14" t="inlineStr">
        <is>
          <t>Day 3</t>
        </is>
      </c>
    </row>
    <row r="21" ht="15" customHeight="1" s="11">
      <c r="A21" s="14" t="n">
        <v>17</v>
      </c>
      <c r="B21" s="14" t="inlineStr">
        <is>
          <t>Luganda language support (optional)</t>
        </is>
      </c>
      <c r="C21" s="14" t="inlineStr">
        <is>
          <t>10.9</t>
        </is>
      </c>
      <c r="D21" s="14" t="inlineStr">
        <is>
          <t>Config</t>
        </is>
      </c>
      <c r="E21" s="14" t="inlineStr">
        <is>
          <t>Add a locale if time allows; first thing to cut</t>
        </is>
      </c>
      <c r="F21" s="19" t="n"/>
      <c r="G21" s="14" t="inlineStr">
        <is>
          <t>Day 3</t>
        </is>
      </c>
    </row>
  </sheetData>
  <mergeCells count="1">
    <mergeCell ref="A2:G2"/>
  </mergeCells>
  <dataValidations count="1">
    <dataValidation sqref="F5:F21" showDropDown="0" showInputMessage="0" showErrorMessage="0" allowBlank="1" type="list" errorStyle="stop" operator="between">
      <formula1>"Yes,No,Partly"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62" customWidth="1" style="10" min="2" max="2"/>
    <col width="11" customWidth="1" style="10" min="3" max="3"/>
    <col width="16" customWidth="1" style="10" min="4" max="4"/>
    <col width="15" customWidth="1" style="10" min="5" max="5"/>
    <col width="34" customWidth="1" style="10" min="6" max="6"/>
  </cols>
  <sheetData>
    <row r="1" ht="16.15" customHeight="1" s="11">
      <c r="A1" s="12" t="inlineStr">
        <is>
          <t>3-day build plan</t>
        </is>
      </c>
    </row>
    <row r="2" ht="15" customHeight="1" s="11">
      <c r="A2" s="17" t="inlineStr">
        <is>
          <t>Fill Owner and Status (yellow). Status options: Not started, In progress, Done, Cut.</t>
        </is>
      </c>
    </row>
    <row r="4" ht="15" customHeight="1" s="11">
      <c r="A4" s="13" t="inlineStr">
        <is>
          <t>Day</t>
        </is>
      </c>
      <c r="B4" s="13" t="inlineStr">
        <is>
          <t>Task</t>
        </is>
      </c>
      <c r="C4" s="13" t="inlineStr">
        <is>
          <t>Gap list #</t>
        </is>
      </c>
      <c r="D4" s="13" t="inlineStr">
        <is>
          <t>Owner</t>
        </is>
      </c>
      <c r="E4" s="13" t="inlineStr">
        <is>
          <t>Status</t>
        </is>
      </c>
      <c r="F4" s="13" t="inlineStr">
        <is>
          <t>Notes</t>
        </is>
      </c>
    </row>
    <row r="5" ht="15" customHeight="1" s="11">
      <c r="A5" s="14" t="inlineStr">
        <is>
          <t>Day 1</t>
        </is>
      </c>
      <c r="B5" s="14" t="inlineStr">
        <is>
          <t>Install Bagisto locally and deploy to a live host</t>
        </is>
      </c>
      <c r="C5" s="14" t="n"/>
      <c r="D5" s="19" t="n"/>
      <c r="E5" s="19" t="inlineStr">
        <is>
          <t>Done</t>
        </is>
      </c>
      <c r="F5" s="19" t="inlineStr">
        <is>
          <t>Bagisto v2.4.12 live locally; deploy kit ready (deploy/Dockerfile, render.yaml, entrypoint, DEPLOY.md). Render service + MySQL pending owner-side</t>
        </is>
      </c>
    </row>
    <row r="6" ht="15" customHeight="1" s="11">
      <c r="A6" s="14" t="inlineStr">
        <is>
          <t>Day 1</t>
        </is>
      </c>
      <c r="B6" s="14" t="inlineStr">
        <is>
          <t>Create Admin and Worker roles with permissions</t>
        </is>
      </c>
      <c r="C6" s="14" t="inlineStr">
        <is>
          <t>6</t>
        </is>
      </c>
      <c r="D6" s="19" t="n"/>
      <c r="E6" s="19" t="inlineStr">
        <is>
          <t>Done</t>
        </is>
      </c>
      <c r="F6" s="19" t="inlineStr">
        <is>
          <t>Worker role (custom, 19 keys) + worker@classy.local seeded; Pest 3/3 pass: worker 200 dashboard/products/orders, 401 roles/users/config</t>
        </is>
      </c>
    </row>
    <row r="7" ht="15" customHeight="1" s="11">
      <c r="A7" s="14" t="inlineStr">
        <is>
          <t>Day 1</t>
        </is>
      </c>
      <c r="B7" s="14" t="inlineStr">
        <is>
          <t>Rebrand theme (name, logo, colours)</t>
        </is>
      </c>
      <c r="C7" s="14" t="inlineStr">
        <is>
          <t>15</t>
        </is>
      </c>
      <c r="D7" s="19" t="n"/>
      <c r="E7" s="19" t="inlineStr">
        <is>
          <t>Done</t>
        </is>
      </c>
      <c r="F7" s="19" t="inlineStr">
        <is>
          <t>Real BrandKit identity: lockup logo (transparent) + black-square C icon/favicon live; plum theme rebuilt</t>
        </is>
      </c>
    </row>
    <row r="8" ht="15" customHeight="1" s="11">
      <c r="A8" s="14" t="inlineStr">
        <is>
          <t>Day 1</t>
        </is>
      </c>
      <c r="B8" s="14" t="inlineStr">
        <is>
          <t>Add 15-20 products with sizes, colours, images, fixed prices</t>
        </is>
      </c>
      <c r="C8" s="14" t="inlineStr">
        <is>
          <t>2</t>
        </is>
      </c>
      <c r="D8" s="19" t="n"/>
      <c r="E8" s="19" t="inlineStr">
        <is>
          <t>Done</t>
        </is>
      </c>
      <c r="F8" s="19" t="inlineStr">
        <is>
          <t>16 fashion products (10 configurable+6 simple, 67 variants) in UGX; category API + search verified; demo products wiped</t>
        </is>
      </c>
    </row>
    <row r="9" ht="15" customHeight="1" s="11">
      <c r="A9" s="14" t="inlineStr">
        <is>
          <t>Day 1</t>
        </is>
      </c>
      <c r="B9" s="14" t="inlineStr">
        <is>
          <t>Place a test order end to end</t>
        </is>
      </c>
      <c r="C9" s="14" t="inlineStr">
        <is>
          <t>4</t>
        </is>
      </c>
      <c r="D9" s="19" t="n"/>
      <c r="E9" s="19" t="inlineStr">
        <is>
          <t>Done</t>
        </is>
      </c>
      <c r="F9" s="19" t="inlineStr">
        <is>
          <t>Pest CheckoutFlowTest 15 assertions: variant cart, COD+flatrate, pending UGX order, history visible</t>
        </is>
      </c>
    </row>
    <row r="10" ht="15" customHeight="1" s="11">
      <c r="A10" s="14" t="inlineStr">
        <is>
          <t>Day 1</t>
        </is>
      </c>
      <c r="B10" s="14" t="inlineStr">
        <is>
          <t>Create Flutterwave / Pesapal sandbox account</t>
        </is>
      </c>
      <c r="C10" s="14" t="inlineStr">
        <is>
          <t>11</t>
        </is>
      </c>
      <c r="D10" s="19" t="n"/>
      <c r="E10" s="19" t="inlineStr">
        <is>
          <t>Done</t>
        </is>
      </c>
      <c r="F10" s="19" t="inlineStr">
        <is>
          <t>Flutterwave picked; method built+tested Day 2. Owner step: free sandbox account -&gt; test keys in bagisto/.env (README has steps)</t>
        </is>
      </c>
    </row>
    <row r="11" ht="15" customHeight="1" s="11">
      <c r="A11" s="14" t="inlineStr">
        <is>
          <t>Day 2</t>
        </is>
      </c>
      <c r="B11" s="14" t="inlineStr">
        <is>
          <t>Rename / extend order statuses</t>
        </is>
      </c>
      <c r="C11" s="14" t="inlineStr">
        <is>
          <t>9</t>
        </is>
      </c>
      <c r="D11" s="19" t="n"/>
      <c r="E11" s="19" t="inlineStr">
        <is>
          <t>Done</t>
        </is>
      </c>
      <c r="F11" s="19" t="inlineStr">
        <is>
          <t>Full pending&gt;confirmed&gt;paid&gt;processing&gt;dispatched&gt;delivered flow; OrderStatusTest 5/5 (19 assertions); completed auto-maps to dispatched</t>
        </is>
      </c>
    </row>
    <row r="12" ht="15" customHeight="1" s="11">
      <c r="A12" s="14" t="inlineStr">
        <is>
          <t>Day 2</t>
        </is>
      </c>
      <c r="B12" s="14" t="inlineStr">
        <is>
          <t>Add delivery fields at checkout and admin view</t>
        </is>
      </c>
      <c r="C12" s="14" t="inlineStr">
        <is>
          <t>10</t>
        </is>
      </c>
      <c r="D12" s="19" t="n"/>
      <c r="E12" s="19" t="inlineStr">
        <is>
          <t>Done</t>
        </is>
      </c>
      <c r="F12" s="19" t="inlineStr">
        <is>
          <t>delivery_instructions on addresses table; shipping form field (Vue event), cart&gt;order flow, admin display; CheckoutFlowTest +2 assertions</t>
        </is>
      </c>
    </row>
    <row r="13" ht="15" customHeight="1" s="11">
      <c r="A13" s="14" t="inlineStr">
        <is>
          <t>Day 2</t>
        </is>
      </c>
      <c r="B13" s="14" t="inlineStr">
        <is>
          <t>Add activity log for stock and order changes</t>
        </is>
      </c>
      <c r="C13" s="14" t="inlineStr">
        <is>
          <t>12</t>
        </is>
      </c>
      <c r="D13" s="19" t="n"/>
      <c r="E13" s="19" t="inlineStr">
        <is>
          <t>Done</t>
        </is>
      </c>
      <c r="F13" s="19" t="inlineStr">
        <is>
          <t>Spatie v4 activity log: stock observer + order audit; AuditLogTest 4/4 (16 assertions)</t>
        </is>
      </c>
    </row>
    <row r="14" ht="15" customHeight="1" s="11">
      <c r="A14" s="14" t="inlineStr">
        <is>
          <t>Day 2</t>
        </is>
      </c>
      <c r="B14" s="14" t="inlineStr">
        <is>
          <t>Add low-stock threshold and alert</t>
        </is>
      </c>
      <c r="C14" s="14" t="inlineStr">
        <is>
          <t>8</t>
        </is>
      </c>
      <c r="D14" s="19" t="n"/>
      <c r="E14" s="19" t="inlineStr">
        <is>
          <t>Done</t>
        </is>
      </c>
      <c r="F14" s="19" t="inlineStr">
        <is>
          <t>Threshold=5 seeded; dashboard widget verified via stats API; crossings logged stock.low; AuditLogTest 6/6</t>
        </is>
      </c>
    </row>
    <row r="15" ht="15" customHeight="1" s="11">
      <c r="A15" s="14" t="inlineStr">
        <is>
          <t>Day 2</t>
        </is>
      </c>
      <c r="B15" s="14" t="inlineStr">
        <is>
          <t>Add cost price field and profit calculation</t>
        </is>
      </c>
      <c r="C15" s="14" t="inlineStr">
        <is>
          <t>13</t>
        </is>
      </c>
      <c r="D15" s="19" t="n"/>
      <c r="E15" s="19" t="inlineStr">
        <is>
          <t>Done</t>
        </is>
      </c>
      <c r="F15" s="19" t="inlineStr">
        <is>
          <t>Cost=60% price seeded; per-item + order profit on admin view; ProfitTest 3/3</t>
        </is>
      </c>
    </row>
    <row r="16" ht="15" customHeight="1" s="11">
      <c r="A16" s="14" t="inlineStr">
        <is>
          <t>Day 2</t>
        </is>
      </c>
      <c r="B16" s="14" t="inlineStr">
        <is>
          <t>Start mobile money payment method (sandbox)</t>
        </is>
      </c>
      <c r="C16" s="14" t="inlineStr">
        <is>
          <t>11</t>
        </is>
      </c>
      <c r="D16" s="19" t="n"/>
      <c r="E16" s="19" t="inlineStr">
        <is>
          <t>Done</t>
        </is>
      </c>
      <c r="F16" s="19" t="inlineStr">
        <is>
          <t>Flutterwave UGX method (sandbox): pending attempts, signed webhook + verify create paid order; MobileMoneyTest 6/6. Live keys pending owner sandbox account</t>
        </is>
      </c>
    </row>
    <row r="17" ht="15" customHeight="1" s="11">
      <c r="A17" s="14" t="inlineStr">
        <is>
          <t>Day 3</t>
        </is>
      </c>
      <c r="B17" s="14" t="inlineStr">
        <is>
          <t>Finish and test payment flow; Paid only on webhook confirmation</t>
        </is>
      </c>
      <c r="C17" s="14" t="inlineStr">
        <is>
          <t>11</t>
        </is>
      </c>
      <c r="D17" s="19" t="n"/>
      <c r="E17" s="19" t="inlineStr">
        <is>
          <t>Done</t>
        </is>
      </c>
      <c r="F17" s="19" t="inlineStr">
        <is>
          <t>MobileMoneyTest 6/6 (pending/verify/paid, bad signature, mismatch, return-proves-nothing). Live keys + public webhook URL still owner-side</t>
        </is>
      </c>
    </row>
    <row r="18" ht="15" customHeight="1" s="11">
      <c r="A18" s="14" t="inlineStr">
        <is>
          <t>Day 3</t>
        </is>
      </c>
      <c r="B18" s="14" t="inlineStr">
        <is>
          <t>Test on a phone</t>
        </is>
      </c>
      <c r="C18" s="14" t="inlineStr">
        <is>
          <t>16</t>
        </is>
      </c>
      <c r="D18" s="19" t="n"/>
      <c r="E18" s="19" t="inlineStr">
        <is>
          <t>Not started</t>
        </is>
      </c>
      <c r="F18" s="19" t="n"/>
    </row>
    <row r="19" ht="15" customHeight="1" s="11">
      <c r="A19" s="14" t="inlineStr">
        <is>
          <t>Day 3</t>
        </is>
      </c>
      <c r="B19" s="14" t="inlineStr">
        <is>
          <t>Check reports and admin dashboard</t>
        </is>
      </c>
      <c r="C19" s="14" t="inlineStr">
        <is>
          <t>5</t>
        </is>
      </c>
      <c r="D19" s="19" t="n"/>
      <c r="E19" s="19" t="inlineStr">
        <is>
          <t>Done</t>
        </is>
      </c>
      <c r="F19" s="19" t="inlineStr">
        <is>
          <t>Sales stats + CSV export verified (ReportingTest); 3 demo orders; dashboard overall stats live</t>
        </is>
      </c>
    </row>
    <row r="20" ht="15" customHeight="1" s="11">
      <c r="A20" s="14" t="inlineStr">
        <is>
          <t>Day 3</t>
        </is>
      </c>
      <c r="B20" s="14" t="inlineStr">
        <is>
          <t>Check the six SMART objectives and capture screenshots</t>
        </is>
      </c>
      <c r="C20" s="14" t="n"/>
      <c r="D20" s="19" t="n"/>
      <c r="E20" s="19" t="inlineStr">
        <is>
          <t>In progress</t>
        </is>
      </c>
      <c r="F20" s="19" t="inlineStr">
        <is>
          <t>6/6 mapped in DEMO_SCRIPT; screenshots are owner-side (browser/phone)</t>
        </is>
      </c>
    </row>
    <row r="21" ht="15" customHeight="1" s="11">
      <c r="A21" s="14" t="inlineStr">
        <is>
          <t>Day 3</t>
        </is>
      </c>
      <c r="B21" s="14" t="inlineStr">
        <is>
          <t>Write user guide and demo script</t>
        </is>
      </c>
      <c r="C21" s="14" t="n"/>
      <c r="D21" s="19" t="n"/>
      <c r="E21" s="19" t="inlineStr">
        <is>
          <t>Done</t>
        </is>
      </c>
      <c r="F21" s="19" t="inlineStr">
        <is>
          <t>USER_GUIDE.md, DEMO_SCRIPT.md (6 objectives + shots), KNOWN_LIMITATIONS.md written</t>
        </is>
      </c>
    </row>
  </sheetData>
  <conditionalFormatting sqref="E5:E21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"Cut"</formula>
    </cfRule>
  </conditionalFormatting>
  <dataValidations count="1">
    <dataValidation sqref="E5:E21" showDropDown="0" showInputMessage="0" showErrorMessage="0" allowBlank="0" type="list" errorStyle="stop" operator="between">
      <formula1>"Not started,In progress,Done,Cut"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0" min="1" max="1"/>
    <col width="40" customWidth="1" style="10" min="2" max="2"/>
    <col width="55" customWidth="1" style="10" min="3" max="3"/>
  </cols>
  <sheetData>
    <row r="1" ht="16.15" customHeight="1" s="11">
      <c r="A1" s="12" t="inlineStr">
        <is>
          <t>What to cut, in order</t>
        </is>
      </c>
    </row>
    <row r="3" ht="15" customHeight="1" s="11">
      <c r="A3" s="13" t="inlineStr">
        <is>
          <t>Order</t>
        </is>
      </c>
      <c r="B3" s="13" t="inlineStr">
        <is>
          <t>Cut this</t>
        </is>
      </c>
      <c r="C3" s="13" t="inlineStr">
        <is>
          <t>Replace with</t>
        </is>
      </c>
    </row>
    <row r="4" ht="15" customHeight="1" s="11">
      <c r="A4" s="14" t="n">
        <v>1</v>
      </c>
      <c r="B4" s="14" t="inlineStr">
        <is>
          <t>Luganda language support</t>
        </is>
      </c>
      <c r="C4" s="14" t="inlineStr">
        <is>
          <t>English only; mention as future work</t>
        </is>
      </c>
    </row>
    <row r="5" ht="15" customHeight="1" s="11">
      <c r="A5" s="14" t="n">
        <v>2</v>
      </c>
      <c r="B5" s="14" t="inlineStr">
        <is>
          <t>Live mobile money payments</t>
        </is>
      </c>
      <c r="C5" s="14" t="inlineStr">
        <is>
          <t>Sandbox/test mode; note production approval as next step</t>
        </is>
      </c>
    </row>
    <row r="6" ht="15" customHeight="1" s="11">
      <c r="A6" s="14" t="n">
        <v>3</v>
      </c>
      <c r="B6" s="14" t="inlineStr">
        <is>
          <t>Email notifications</t>
        </is>
      </c>
      <c r="C6" s="14" t="inlineStr">
        <is>
          <t>Dashboard-only alerts</t>
        </is>
      </c>
    </row>
    <row r="8" ht="15" customHeight="1" s="11">
      <c r="A8" s="16" t="inlineStr">
        <is>
          <t>Do not cut: roles, activity log, order statuses. They show the report was actually implemented.</t>
        </is>
      </c>
    </row>
    <row r="9" ht="15" customHeight="1" s="11">
      <c r="A9" s="20" t="inlineStr">
        <is>
          <t>Note: live Flutterwave/Pesapal merchant approval can take longer than 3 days; create the sandbox account now.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2026-10-01T13:41:24Z</dcterms:created>
  <dcterms:modified xmlns:dcterms="http://purl.org/dc/terms/" xmlns:xsi="http://www.w3.org/2001/XMLSchema-instance" xsi:type="dcterms:W3CDTF">2026-10-03T09:16:00Z</dcterms:modified>
  <cp:revision>0</cp:revision>
</cp:coreProperties>
</file>